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\Downloads\"/>
    </mc:Choice>
  </mc:AlternateContent>
  <xr:revisionPtr revIDLastSave="0" documentId="8_{5BC190EC-D3E1-4F71-84F6-4453FA3E6ED6}" xr6:coauthVersionLast="47" xr6:coauthVersionMax="47" xr10:uidLastSave="{00000000-0000-0000-0000-000000000000}"/>
  <bookViews>
    <workbookView xWindow="-108" yWindow="-108" windowWidth="23256" windowHeight="12456" xr2:uid="{7C0209D2-BF5E-4D69-9479-939E8C79F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  <c r="F33" i="1"/>
  <c r="E33" i="1"/>
  <c r="G29" i="1"/>
  <c r="G32" i="1" s="1"/>
  <c r="F29" i="1"/>
  <c r="E29" i="1"/>
  <c r="G51" i="1"/>
  <c r="G52" i="1" s="1"/>
  <c r="F51" i="1"/>
  <c r="F52" i="1" s="1"/>
  <c r="E51" i="1"/>
  <c r="E52" i="1"/>
  <c r="G50" i="1"/>
  <c r="F50" i="1"/>
  <c r="E50" i="1"/>
  <c r="G48" i="1"/>
  <c r="F48" i="1"/>
  <c r="E48" i="1"/>
  <c r="G47" i="1"/>
  <c r="F47" i="1"/>
  <c r="E47" i="1"/>
  <c r="G43" i="1"/>
  <c r="G45" i="1" s="1"/>
  <c r="F43" i="1"/>
  <c r="F45" i="1" s="1"/>
  <c r="E43" i="1"/>
  <c r="E45" i="1"/>
  <c r="G44" i="1"/>
  <c r="F44" i="1"/>
  <c r="E44" i="1"/>
  <c r="G41" i="1"/>
  <c r="F41" i="1"/>
  <c r="E41" i="1"/>
  <c r="G40" i="1"/>
  <c r="F40" i="1"/>
  <c r="G39" i="1"/>
  <c r="F39" i="1"/>
  <c r="E39" i="1"/>
  <c r="E40" i="1"/>
  <c r="G38" i="1"/>
  <c r="F38" i="1"/>
  <c r="E38" i="1"/>
  <c r="G34" i="1"/>
  <c r="F34" i="1"/>
  <c r="E34" i="1"/>
  <c r="F32" i="1"/>
  <c r="E32" i="1"/>
  <c r="G28" i="1"/>
  <c r="F28" i="1"/>
  <c r="E28" i="1"/>
  <c r="F27" i="1"/>
  <c r="G27" i="1" s="1"/>
  <c r="E27" i="1"/>
  <c r="G26" i="1"/>
  <c r="F26" i="1"/>
  <c r="E26" i="1"/>
  <c r="G24" i="1"/>
  <c r="F24" i="1"/>
  <c r="E24" i="1"/>
  <c r="F31" i="1"/>
  <c r="G31" i="1" s="1"/>
  <c r="E31" i="1"/>
  <c r="F30" i="1"/>
  <c r="G30" i="1" s="1"/>
  <c r="E30" i="1"/>
  <c r="F23" i="1"/>
  <c r="G23" i="1" s="1"/>
  <c r="E23" i="1"/>
  <c r="G22" i="1"/>
  <c r="F22" i="1"/>
  <c r="E22" i="1"/>
  <c r="G21" i="1"/>
  <c r="F21" i="1"/>
  <c r="E21" i="1"/>
  <c r="D34" i="1"/>
  <c r="D32" i="1"/>
  <c r="D28" i="1"/>
  <c r="D24" i="1"/>
  <c r="G13" i="1"/>
  <c r="F13" i="1"/>
  <c r="E13" i="1"/>
  <c r="E11" i="1"/>
  <c r="F11" i="1"/>
  <c r="G11" i="1"/>
  <c r="G10" i="1"/>
  <c r="F10" i="1"/>
  <c r="E10" i="1"/>
  <c r="E8" i="1"/>
  <c r="F8" i="1" s="1"/>
  <c r="G8" i="1" s="1"/>
  <c r="E7" i="1"/>
  <c r="F7" i="1" s="1"/>
  <c r="G7" i="1" s="1"/>
  <c r="E4" i="1"/>
  <c r="E6" i="1" s="1"/>
  <c r="K4" i="1"/>
  <c r="E9" i="1" l="1"/>
  <c r="E12" i="1" s="1"/>
  <c r="E14" i="1" s="1"/>
  <c r="E5" i="1"/>
  <c r="F4" i="1"/>
  <c r="E16" i="1" l="1"/>
  <c r="E15" i="1"/>
  <c r="F6" i="1"/>
  <c r="F9" i="1" s="1"/>
  <c r="F12" i="1" s="1"/>
  <c r="F14" i="1" s="1"/>
  <c r="G4" i="1"/>
  <c r="F15" i="1" l="1"/>
  <c r="G6" i="1"/>
  <c r="G9" i="1" s="1"/>
  <c r="G12" i="1" s="1"/>
  <c r="G14" i="1" s="1"/>
  <c r="F5" i="1"/>
  <c r="F16" i="1" l="1"/>
  <c r="G15" i="1"/>
  <c r="G16" i="1"/>
  <c r="G5" i="1"/>
  <c r="D6" i="1" l="1"/>
  <c r="D9" i="1" s="1"/>
  <c r="D12" i="1" s="1"/>
  <c r="D14" i="1" s="1"/>
  <c r="C6" i="1"/>
  <c r="C9" i="1" s="1"/>
  <c r="C12" i="1" s="1"/>
  <c r="C14" i="1" s="1"/>
  <c r="C15" i="1" l="1"/>
  <c r="C16" i="1" s="1"/>
  <c r="D5" i="1"/>
  <c r="D15" i="1"/>
  <c r="D16" i="1" s="1"/>
</calcChain>
</file>

<file path=xl/sharedStrings.xml><?xml version="1.0" encoding="utf-8"?>
<sst xmlns="http://schemas.openxmlformats.org/spreadsheetml/2006/main" count="68" uniqueCount="59">
  <si>
    <t>P&amp;L</t>
  </si>
  <si>
    <t>FY 24</t>
  </si>
  <si>
    <t>FY 25</t>
  </si>
  <si>
    <t>FY 26</t>
  </si>
  <si>
    <t>FY 27</t>
  </si>
  <si>
    <t>FY 28</t>
  </si>
  <si>
    <t>Sales</t>
  </si>
  <si>
    <t>COGS</t>
  </si>
  <si>
    <t>Employee</t>
  </si>
  <si>
    <t>Other Expenses</t>
  </si>
  <si>
    <t>EBITDA</t>
  </si>
  <si>
    <t>Other income</t>
  </si>
  <si>
    <t>Depreciation</t>
  </si>
  <si>
    <t>EBIT</t>
  </si>
  <si>
    <t>PAT</t>
  </si>
  <si>
    <t>PBT</t>
  </si>
  <si>
    <t>GP</t>
  </si>
  <si>
    <t>Interest</t>
  </si>
  <si>
    <t>Assumption</t>
  </si>
  <si>
    <t>FY25A</t>
  </si>
  <si>
    <t>FY26e</t>
  </si>
  <si>
    <t>FY27e</t>
  </si>
  <si>
    <t>FY28e</t>
  </si>
  <si>
    <t>Sales growth</t>
  </si>
  <si>
    <t>GM%</t>
  </si>
  <si>
    <t>Exp growth</t>
  </si>
  <si>
    <t xml:space="preserve">Tax rate </t>
  </si>
  <si>
    <t>Capex - Rs</t>
  </si>
  <si>
    <t xml:space="preserve">Dep Rate </t>
  </si>
  <si>
    <t>Int Amount in Rs</t>
  </si>
  <si>
    <t xml:space="preserve">Other income </t>
  </si>
  <si>
    <t>Gross Block</t>
  </si>
  <si>
    <t>BS</t>
  </si>
  <si>
    <t xml:space="preserve">Net worth </t>
  </si>
  <si>
    <t>Debt</t>
  </si>
  <si>
    <t>Creditor</t>
  </si>
  <si>
    <t>Total</t>
  </si>
  <si>
    <t>Gross fixed assets</t>
  </si>
  <si>
    <t>Less: Accumulated Dep</t>
  </si>
  <si>
    <t>Net fixed Assets</t>
  </si>
  <si>
    <t xml:space="preserve">Cash </t>
  </si>
  <si>
    <t>Debtors</t>
  </si>
  <si>
    <t>Inventory</t>
  </si>
  <si>
    <t>WC(debtor,Inventory, Creditor)</t>
  </si>
  <si>
    <t>Cash flow statement</t>
  </si>
  <si>
    <t>WC changes</t>
  </si>
  <si>
    <t>Less:Tax paid</t>
  </si>
  <si>
    <t>CFO</t>
  </si>
  <si>
    <t>Capex</t>
  </si>
  <si>
    <t>Add: Other income</t>
  </si>
  <si>
    <t>CFI</t>
  </si>
  <si>
    <t>Interest paid</t>
  </si>
  <si>
    <t>CFF</t>
  </si>
  <si>
    <t>CFO+CFI+CFF</t>
  </si>
  <si>
    <t xml:space="preserve">Closing  Cash </t>
  </si>
  <si>
    <t>CFO before  WC (EBITDA)</t>
  </si>
  <si>
    <t>Tax @25%</t>
  </si>
  <si>
    <t>( If it's Positive then outflow and if it's negative then Inflow)</t>
  </si>
  <si>
    <t xml:space="preserve">Add: Opening cash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</si>
</sst>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1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/>
    <xf numFmtId="1" fontId="0" fillId="0" borderId="0" xfId="1" applyNumberFormat="1" applyFont="1"/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C49B-F7E0-4190-86D4-5F28836FFA93}">
  <dimension ref="B3:N52"/>
  <sheetViews>
    <sheetView tabSelected="1" topLeftCell="A28" zoomScale="130" zoomScaleNormal="130" workbookViewId="0">
      <selection activeCell="E34" sqref="E34"/>
    </sheetView>
  </sheetViews>
  <sheetFormatPr defaultRowHeight="14.4" x14ac:dyDescent="0.3"/>
  <cols>
    <col min="2" max="2" width="20.33203125" bestFit="1" customWidth="1"/>
    <col min="5" max="5" width="10" customWidth="1"/>
    <col min="10" max="10" width="14.44140625" bestFit="1" customWidth="1"/>
    <col min="11" max="11" width="7.5546875" customWidth="1"/>
    <col min="12" max="12" width="9.33203125" customWidth="1"/>
    <col min="13" max="13" width="8" customWidth="1"/>
    <col min="14" max="14" width="8.88671875" customWidth="1"/>
  </cols>
  <sheetData>
    <row r="3" spans="2:14" x14ac:dyDescent="0.3">
      <c r="B3" s="4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J3" s="3" t="s">
        <v>18</v>
      </c>
      <c r="K3" s="4" t="s">
        <v>19</v>
      </c>
      <c r="L3" s="3" t="s">
        <v>20</v>
      </c>
      <c r="M3" s="3" t="s">
        <v>21</v>
      </c>
      <c r="N3" s="3" t="s">
        <v>22</v>
      </c>
    </row>
    <row r="4" spans="2:14" x14ac:dyDescent="0.3">
      <c r="B4" t="s">
        <v>6</v>
      </c>
      <c r="C4">
        <v>100</v>
      </c>
      <c r="D4">
        <v>150</v>
      </c>
      <c r="E4" s="11">
        <f>D4*(1+L4)</f>
        <v>172.5</v>
      </c>
      <c r="F4" s="2">
        <f>E4*(1+M4)</f>
        <v>198.37499999999997</v>
      </c>
      <c r="G4" s="2">
        <f>F4*(1+N4)</f>
        <v>228.13124999999994</v>
      </c>
      <c r="J4" s="5" t="s">
        <v>23</v>
      </c>
      <c r="K4" s="6">
        <f>D4/C4-1</f>
        <v>0.5</v>
      </c>
      <c r="L4" s="7">
        <v>0.15</v>
      </c>
      <c r="M4" s="7">
        <v>0.15</v>
      </c>
      <c r="N4" s="7">
        <v>0.15</v>
      </c>
    </row>
    <row r="5" spans="2:14" x14ac:dyDescent="0.3">
      <c r="B5" t="s">
        <v>7</v>
      </c>
      <c r="C5">
        <v>60</v>
      </c>
      <c r="D5">
        <f>D4-D6</f>
        <v>90</v>
      </c>
      <c r="E5" s="2">
        <f>E4-E6</f>
        <v>103.5</v>
      </c>
      <c r="F5" s="2">
        <f t="shared" ref="F5:G5" si="0">F4-F6</f>
        <v>119.02499999999998</v>
      </c>
      <c r="G5" s="2">
        <f t="shared" si="0"/>
        <v>136.87874999999997</v>
      </c>
      <c r="J5" s="5" t="s">
        <v>24</v>
      </c>
      <c r="K5" s="7">
        <v>0.4</v>
      </c>
      <c r="L5" s="7">
        <v>0.4</v>
      </c>
      <c r="M5" s="7">
        <v>0.4</v>
      </c>
      <c r="N5" s="7">
        <v>0.4</v>
      </c>
    </row>
    <row r="6" spans="2:14" x14ac:dyDescent="0.3">
      <c r="B6" s="1" t="s">
        <v>16</v>
      </c>
      <c r="C6" s="1">
        <f>C4-C5</f>
        <v>40</v>
      </c>
      <c r="D6" s="1">
        <f>D4*40%</f>
        <v>60</v>
      </c>
      <c r="E6" s="10">
        <f>E4*L5</f>
        <v>69</v>
      </c>
      <c r="F6" s="10">
        <f>F4*M5</f>
        <v>79.349999999999994</v>
      </c>
      <c r="G6" s="10">
        <f>G4*N5</f>
        <v>91.252499999999984</v>
      </c>
      <c r="J6" s="5" t="s">
        <v>25</v>
      </c>
      <c r="K6" s="7"/>
      <c r="L6" s="7">
        <v>0.1</v>
      </c>
      <c r="M6" s="7">
        <v>0.1</v>
      </c>
      <c r="N6" s="7">
        <v>0.1</v>
      </c>
    </row>
    <row r="7" spans="2:14" x14ac:dyDescent="0.3">
      <c r="B7" t="s">
        <v>8</v>
      </c>
      <c r="C7">
        <v>5</v>
      </c>
      <c r="D7">
        <v>10</v>
      </c>
      <c r="E7">
        <f>D7*(1+L6)</f>
        <v>11</v>
      </c>
      <c r="F7">
        <f t="shared" ref="F7:G7" si="1">E7*(1+M6)</f>
        <v>12.100000000000001</v>
      </c>
      <c r="G7">
        <f t="shared" si="1"/>
        <v>13.310000000000002</v>
      </c>
      <c r="J7" s="5" t="s">
        <v>26</v>
      </c>
      <c r="K7" s="5"/>
      <c r="L7" s="7">
        <v>0.25</v>
      </c>
      <c r="M7" s="7">
        <v>0.25</v>
      </c>
      <c r="N7" s="7">
        <v>0.25</v>
      </c>
    </row>
    <row r="8" spans="2:14" x14ac:dyDescent="0.3">
      <c r="B8" t="s">
        <v>9</v>
      </c>
      <c r="C8">
        <v>10</v>
      </c>
      <c r="D8">
        <v>10</v>
      </c>
      <c r="E8">
        <f>D8*(1+L6)</f>
        <v>11</v>
      </c>
      <c r="F8">
        <f t="shared" ref="F8:G8" si="2">E8*(1+M6)</f>
        <v>12.100000000000001</v>
      </c>
      <c r="G8">
        <f t="shared" si="2"/>
        <v>13.310000000000002</v>
      </c>
      <c r="J8" s="5" t="s">
        <v>27</v>
      </c>
      <c r="K8" s="5"/>
      <c r="L8" s="8">
        <v>10</v>
      </c>
      <c r="M8" s="8">
        <v>20</v>
      </c>
      <c r="N8" s="8">
        <v>30</v>
      </c>
    </row>
    <row r="9" spans="2:14" x14ac:dyDescent="0.3">
      <c r="B9" s="1" t="s">
        <v>10</v>
      </c>
      <c r="C9" s="1">
        <f>C6-C7-C8</f>
        <v>25</v>
      </c>
      <c r="D9" s="10">
        <f>D6-D7-D8</f>
        <v>40</v>
      </c>
      <c r="E9" s="10">
        <f t="shared" ref="E9:G9" si="3">E6-E7-E8</f>
        <v>47</v>
      </c>
      <c r="F9" s="10">
        <f t="shared" si="3"/>
        <v>55.15</v>
      </c>
      <c r="G9" s="10">
        <f t="shared" si="3"/>
        <v>64.632499999999979</v>
      </c>
      <c r="J9" s="9" t="s">
        <v>31</v>
      </c>
      <c r="K9" s="5"/>
      <c r="L9" s="5"/>
      <c r="M9" s="5"/>
      <c r="N9" s="5"/>
    </row>
    <row r="10" spans="2:14" x14ac:dyDescent="0.3">
      <c r="B10" t="s">
        <v>11</v>
      </c>
      <c r="C10">
        <v>5</v>
      </c>
      <c r="D10">
        <v>8</v>
      </c>
      <c r="E10">
        <f>L12</f>
        <v>0</v>
      </c>
      <c r="F10">
        <f t="shared" ref="F10:G10" si="4">M12</f>
        <v>0</v>
      </c>
      <c r="G10">
        <f t="shared" si="4"/>
        <v>0</v>
      </c>
      <c r="J10" s="5" t="s">
        <v>28</v>
      </c>
      <c r="K10" s="7"/>
      <c r="L10" s="7">
        <v>0.05</v>
      </c>
      <c r="M10" s="7">
        <v>0.05</v>
      </c>
      <c r="N10" s="7">
        <v>0.05</v>
      </c>
    </row>
    <row r="11" spans="2:14" x14ac:dyDescent="0.3">
      <c r="B11" t="s">
        <v>12</v>
      </c>
      <c r="C11">
        <v>5</v>
      </c>
      <c r="D11">
        <v>8</v>
      </c>
      <c r="E11" s="2">
        <f>D11*(1+L10)</f>
        <v>8.4</v>
      </c>
      <c r="F11" s="2">
        <f>E11*(1+M10)</f>
        <v>8.82</v>
      </c>
      <c r="G11" s="2">
        <f>F11*(1+N10)</f>
        <v>9.261000000000001</v>
      </c>
      <c r="J11" s="5" t="s">
        <v>29</v>
      </c>
      <c r="K11" s="5"/>
      <c r="L11" s="5">
        <v>6</v>
      </c>
      <c r="M11" s="5">
        <v>7</v>
      </c>
      <c r="N11" s="5">
        <v>8</v>
      </c>
    </row>
    <row r="12" spans="2:14" x14ac:dyDescent="0.3">
      <c r="B12" s="1" t="s">
        <v>13</v>
      </c>
      <c r="C12" s="1">
        <f>C9+C10-C11</f>
        <v>25</v>
      </c>
      <c r="D12" s="10">
        <f>D9+D10-D11</f>
        <v>40</v>
      </c>
      <c r="E12" s="10">
        <f t="shared" ref="E12:G12" si="5">E9+E10-E11</f>
        <v>38.6</v>
      </c>
      <c r="F12" s="10">
        <f t="shared" si="5"/>
        <v>46.33</v>
      </c>
      <c r="G12" s="10">
        <f t="shared" si="5"/>
        <v>55.371499999999976</v>
      </c>
      <c r="J12" s="5" t="s">
        <v>30</v>
      </c>
      <c r="K12" s="5">
        <v>0</v>
      </c>
      <c r="L12" s="5">
        <v>0</v>
      </c>
      <c r="M12" s="5">
        <v>0</v>
      </c>
      <c r="N12" s="5">
        <v>0</v>
      </c>
    </row>
    <row r="13" spans="2:14" x14ac:dyDescent="0.3">
      <c r="B13" t="s">
        <v>17</v>
      </c>
      <c r="C13">
        <v>5</v>
      </c>
      <c r="D13">
        <v>5</v>
      </c>
      <c r="E13">
        <f>L11</f>
        <v>6</v>
      </c>
      <c r="F13">
        <f t="shared" ref="F13:G13" si="6">M11</f>
        <v>7</v>
      </c>
      <c r="G13">
        <f t="shared" si="6"/>
        <v>8</v>
      </c>
    </row>
    <row r="14" spans="2:14" x14ac:dyDescent="0.3">
      <c r="B14" s="1" t="s">
        <v>15</v>
      </c>
      <c r="C14" s="1">
        <f>C12-C13</f>
        <v>20</v>
      </c>
      <c r="D14" s="10">
        <f>D12-D13</f>
        <v>35</v>
      </c>
      <c r="E14" s="10">
        <f>E12-E13</f>
        <v>32.6</v>
      </c>
      <c r="F14" s="10">
        <f t="shared" ref="F14:G14" si="7">F12-F13</f>
        <v>39.33</v>
      </c>
      <c r="G14" s="10">
        <f t="shared" si="7"/>
        <v>47.371499999999976</v>
      </c>
    </row>
    <row r="15" spans="2:14" x14ac:dyDescent="0.3">
      <c r="B15" t="s">
        <v>56</v>
      </c>
      <c r="C15">
        <f>C14*25%</f>
        <v>5</v>
      </c>
      <c r="D15" s="2">
        <f>D14*25%</f>
        <v>8.75</v>
      </c>
      <c r="E15" s="2">
        <f>E14*L7</f>
        <v>8.15</v>
      </c>
      <c r="F15" s="2">
        <f t="shared" ref="F15:G15" si="8">F14*M7</f>
        <v>9.8324999999999996</v>
      </c>
      <c r="G15" s="2">
        <f t="shared" si="8"/>
        <v>11.842874999999994</v>
      </c>
    </row>
    <row r="16" spans="2:14" x14ac:dyDescent="0.3">
      <c r="B16" s="1" t="s">
        <v>14</v>
      </c>
      <c r="C16" s="1">
        <f>C14-C15</f>
        <v>15</v>
      </c>
      <c r="D16" s="10">
        <f>D14-D15</f>
        <v>26.25</v>
      </c>
      <c r="E16" s="10">
        <f t="shared" ref="E16:G16" si="9">E14-E15</f>
        <v>24.450000000000003</v>
      </c>
      <c r="F16" s="10">
        <f t="shared" si="9"/>
        <v>29.497499999999999</v>
      </c>
      <c r="G16" s="10">
        <f t="shared" si="9"/>
        <v>35.528624999999984</v>
      </c>
    </row>
    <row r="20" spans="2:7" x14ac:dyDescent="0.3">
      <c r="B20" s="12" t="s">
        <v>32</v>
      </c>
      <c r="D20" s="4" t="s">
        <v>19</v>
      </c>
      <c r="E20" s="3" t="s">
        <v>20</v>
      </c>
      <c r="F20" s="3" t="s">
        <v>21</v>
      </c>
      <c r="G20" s="3" t="s">
        <v>22</v>
      </c>
    </row>
    <row r="21" spans="2:7" x14ac:dyDescent="0.3">
      <c r="B21" t="s">
        <v>33</v>
      </c>
      <c r="D21" s="5">
        <v>100</v>
      </c>
      <c r="E21" s="8">
        <f>D21+E16</f>
        <v>124.45</v>
      </c>
      <c r="F21" s="8">
        <f>E21+F16</f>
        <v>153.94749999999999</v>
      </c>
      <c r="G21" s="8">
        <f t="shared" ref="G21" si="10">F21+G16</f>
        <v>189.47612499999997</v>
      </c>
    </row>
    <row r="22" spans="2:7" x14ac:dyDescent="0.3">
      <c r="B22" t="s">
        <v>34</v>
      </c>
      <c r="D22" s="5">
        <v>50</v>
      </c>
      <c r="E22" s="5">
        <f>D22</f>
        <v>50</v>
      </c>
      <c r="F22" s="5">
        <f>E22</f>
        <v>50</v>
      </c>
      <c r="G22" s="5">
        <f>F22</f>
        <v>50</v>
      </c>
    </row>
    <row r="23" spans="2:7" x14ac:dyDescent="0.3">
      <c r="B23" t="s">
        <v>35</v>
      </c>
      <c r="D23" s="5">
        <v>10</v>
      </c>
      <c r="E23" s="8">
        <f>D23*(1+L4)</f>
        <v>11.5</v>
      </c>
      <c r="F23" s="8">
        <f t="shared" ref="F23:G23" si="11">E23*(1+M4)</f>
        <v>13.225</v>
      </c>
      <c r="G23" s="8">
        <f t="shared" si="11"/>
        <v>15.208749999999998</v>
      </c>
    </row>
    <row r="24" spans="2:7" x14ac:dyDescent="0.3">
      <c r="B24" s="1" t="s">
        <v>36</v>
      </c>
      <c r="D24" s="9">
        <f>D21+D22+D23</f>
        <v>160</v>
      </c>
      <c r="E24" s="13">
        <f t="shared" ref="E24:G24" si="12">E21+E22+E23</f>
        <v>185.95</v>
      </c>
      <c r="F24" s="13">
        <f t="shared" si="12"/>
        <v>217.17249999999999</v>
      </c>
      <c r="G24" s="13">
        <f t="shared" si="12"/>
        <v>254.68487499999998</v>
      </c>
    </row>
    <row r="25" spans="2:7" x14ac:dyDescent="0.3">
      <c r="B25" s="1"/>
      <c r="D25" s="9"/>
      <c r="E25" s="13"/>
      <c r="F25" s="13"/>
      <c r="G25" s="13"/>
    </row>
    <row r="26" spans="2:7" x14ac:dyDescent="0.3">
      <c r="B26" t="s">
        <v>37</v>
      </c>
      <c r="D26" s="5">
        <v>190</v>
      </c>
      <c r="E26" s="8">
        <f>D26+L8</f>
        <v>200</v>
      </c>
      <c r="F26" s="8">
        <f t="shared" ref="F26:G26" si="13">E26+M8</f>
        <v>220</v>
      </c>
      <c r="G26" s="8">
        <f t="shared" si="13"/>
        <v>250</v>
      </c>
    </row>
    <row r="27" spans="2:7" x14ac:dyDescent="0.3">
      <c r="B27" t="s">
        <v>38</v>
      </c>
      <c r="D27" s="5">
        <v>50</v>
      </c>
      <c r="E27" s="8">
        <f>D27+E11</f>
        <v>58.4</v>
      </c>
      <c r="F27" s="8">
        <f t="shared" ref="F27:G27" si="14">E27+F11</f>
        <v>67.22</v>
      </c>
      <c r="G27" s="8">
        <f t="shared" si="14"/>
        <v>76.480999999999995</v>
      </c>
    </row>
    <row r="28" spans="2:7" x14ac:dyDescent="0.3">
      <c r="B28" t="s">
        <v>39</v>
      </c>
      <c r="D28" s="13">
        <f>D26-D27</f>
        <v>140</v>
      </c>
      <c r="E28" s="13">
        <f t="shared" ref="E28:G28" si="15">E26-E27</f>
        <v>141.6</v>
      </c>
      <c r="F28" s="13">
        <f t="shared" si="15"/>
        <v>152.78</v>
      </c>
      <c r="G28" s="13">
        <f t="shared" si="15"/>
        <v>173.51900000000001</v>
      </c>
    </row>
    <row r="29" spans="2:7" x14ac:dyDescent="0.3">
      <c r="B29" t="s">
        <v>40</v>
      </c>
      <c r="D29" s="5">
        <v>5</v>
      </c>
      <c r="E29" s="8">
        <f>E52</f>
        <v>27.1</v>
      </c>
      <c r="F29" s="8">
        <f t="shared" ref="F29:G29" si="16">F52</f>
        <v>44.555</v>
      </c>
      <c r="G29" s="8">
        <f t="shared" si="16"/>
        <v>58.352749999999986</v>
      </c>
    </row>
    <row r="30" spans="2:7" x14ac:dyDescent="0.3">
      <c r="B30" t="s">
        <v>41</v>
      </c>
      <c r="D30" s="5">
        <v>5</v>
      </c>
      <c r="E30" s="8">
        <f>D30*(1+L4)</f>
        <v>5.75</v>
      </c>
      <c r="F30" s="8">
        <f t="shared" ref="F30:G30" si="17">E30*(1+M4)</f>
        <v>6.6124999999999998</v>
      </c>
      <c r="G30" s="8">
        <f t="shared" si="17"/>
        <v>7.6043749999999992</v>
      </c>
    </row>
    <row r="31" spans="2:7" x14ac:dyDescent="0.3">
      <c r="B31" t="s">
        <v>42</v>
      </c>
      <c r="D31" s="5">
        <v>10</v>
      </c>
      <c r="E31" s="8">
        <f>D31*(1+L4)</f>
        <v>11.5</v>
      </c>
      <c r="F31" s="8">
        <f t="shared" ref="F31:G31" si="18">E31*(1+M4)</f>
        <v>13.225</v>
      </c>
      <c r="G31" s="8">
        <f t="shared" si="18"/>
        <v>15.208749999999998</v>
      </c>
    </row>
    <row r="32" spans="2:7" x14ac:dyDescent="0.3">
      <c r="B32" s="1" t="s">
        <v>36</v>
      </c>
      <c r="D32" s="13">
        <f>D28+D29+D30+D31</f>
        <v>160</v>
      </c>
      <c r="E32" s="13">
        <f t="shared" ref="E32:G32" si="19">E28+E29+E30+E31</f>
        <v>185.95</v>
      </c>
      <c r="F32" s="13">
        <f t="shared" si="19"/>
        <v>217.17250000000001</v>
      </c>
      <c r="G32" s="13">
        <f t="shared" si="19"/>
        <v>254.68487500000001</v>
      </c>
    </row>
    <row r="33" spans="2:9" x14ac:dyDescent="0.3">
      <c r="D33" s="5"/>
      <c r="E33" s="5" t="b">
        <f>E24=E32</f>
        <v>1</v>
      </c>
      <c r="F33" s="5" t="b">
        <f t="shared" ref="F33:G33" si="20">F24=F32</f>
        <v>1</v>
      </c>
      <c r="G33" s="5" t="b">
        <f t="shared" si="20"/>
        <v>1</v>
      </c>
    </row>
    <row r="34" spans="2:9" ht="43.2" x14ac:dyDescent="0.3">
      <c r="B34" s="14" t="s">
        <v>43</v>
      </c>
      <c r="D34" s="8">
        <f>D30+D31-D23</f>
        <v>5</v>
      </c>
      <c r="E34" s="8">
        <f t="shared" ref="E34:G34" si="21">E30+E31-E23</f>
        <v>5.75</v>
      </c>
      <c r="F34" s="8">
        <f t="shared" si="21"/>
        <v>6.6124999999999989</v>
      </c>
      <c r="G34" s="8">
        <f t="shared" si="21"/>
        <v>7.604375000000001</v>
      </c>
      <c r="I34" t="s">
        <v>57</v>
      </c>
    </row>
    <row r="37" spans="2:9" x14ac:dyDescent="0.3">
      <c r="B37" s="12" t="s">
        <v>44</v>
      </c>
      <c r="D37" s="15" t="s">
        <v>19</v>
      </c>
      <c r="E37" s="3" t="s">
        <v>20</v>
      </c>
      <c r="F37" s="3" t="s">
        <v>21</v>
      </c>
      <c r="G37" s="3" t="s">
        <v>22</v>
      </c>
    </row>
    <row r="38" spans="2:9" x14ac:dyDescent="0.3">
      <c r="B38" t="s">
        <v>55</v>
      </c>
      <c r="E38" s="8">
        <f>E9</f>
        <v>47</v>
      </c>
      <c r="F38" s="8">
        <f t="shared" ref="F38:G38" si="22">F9</f>
        <v>55.15</v>
      </c>
      <c r="G38" s="8">
        <f t="shared" si="22"/>
        <v>64.632499999999979</v>
      </c>
    </row>
    <row r="39" spans="2:9" x14ac:dyDescent="0.3">
      <c r="B39" t="s">
        <v>45</v>
      </c>
      <c r="E39" s="8">
        <f>-E34+D34</f>
        <v>-0.75</v>
      </c>
      <c r="F39" s="8">
        <f t="shared" ref="F39:G39" si="23">-F34+E34</f>
        <v>-0.86249999999999893</v>
      </c>
      <c r="G39" s="8">
        <f t="shared" si="23"/>
        <v>-0.99187500000000206</v>
      </c>
    </row>
    <row r="40" spans="2:9" x14ac:dyDescent="0.3">
      <c r="B40" t="s">
        <v>46</v>
      </c>
      <c r="E40" s="8">
        <f>-E15</f>
        <v>-8.15</v>
      </c>
      <c r="F40" s="8">
        <f t="shared" ref="F40:G40" si="24">-F15</f>
        <v>-9.8324999999999996</v>
      </c>
      <c r="G40" s="8">
        <f t="shared" si="24"/>
        <v>-11.842874999999994</v>
      </c>
    </row>
    <row r="41" spans="2:9" x14ac:dyDescent="0.3">
      <c r="B41" s="1" t="s">
        <v>47</v>
      </c>
      <c r="E41" s="13">
        <f>SUM(E38:E40)</f>
        <v>38.1</v>
      </c>
      <c r="F41" s="13">
        <f t="shared" ref="F41:G41" si="25">SUM(F38:F40)</f>
        <v>44.454999999999998</v>
      </c>
      <c r="G41" s="13">
        <f t="shared" si="25"/>
        <v>51.797749999999986</v>
      </c>
    </row>
    <row r="42" spans="2:9" x14ac:dyDescent="0.3">
      <c r="E42" s="5"/>
      <c r="F42" s="5"/>
      <c r="G42" s="5"/>
    </row>
    <row r="43" spans="2:9" x14ac:dyDescent="0.3">
      <c r="B43" t="s">
        <v>48</v>
      </c>
      <c r="E43" s="8">
        <f>-L8</f>
        <v>-10</v>
      </c>
      <c r="F43" s="8">
        <f t="shared" ref="F43:G43" si="26">-M8</f>
        <v>-20</v>
      </c>
      <c r="G43" s="8">
        <f t="shared" si="26"/>
        <v>-30</v>
      </c>
    </row>
    <row r="44" spans="2:9" x14ac:dyDescent="0.3">
      <c r="B44" t="s">
        <v>49</v>
      </c>
      <c r="E44" s="5">
        <f>E10</f>
        <v>0</v>
      </c>
      <c r="F44" s="5">
        <f t="shared" ref="F44:G44" si="27">F10</f>
        <v>0</v>
      </c>
      <c r="G44" s="5">
        <f t="shared" si="27"/>
        <v>0</v>
      </c>
    </row>
    <row r="45" spans="2:9" x14ac:dyDescent="0.3">
      <c r="B45" s="1" t="s">
        <v>50</v>
      </c>
      <c r="E45" s="13">
        <f>E43+E44</f>
        <v>-10</v>
      </c>
      <c r="F45" s="13">
        <f t="shared" ref="F45:G45" si="28">F43+F44</f>
        <v>-20</v>
      </c>
      <c r="G45" s="13">
        <f t="shared" si="28"/>
        <v>-30</v>
      </c>
    </row>
    <row r="46" spans="2:9" x14ac:dyDescent="0.3">
      <c r="E46" s="5"/>
      <c r="F46" s="5"/>
      <c r="G46" s="5"/>
    </row>
    <row r="47" spans="2:9" x14ac:dyDescent="0.3">
      <c r="B47" t="s">
        <v>51</v>
      </c>
      <c r="E47" s="5">
        <f>-E13</f>
        <v>-6</v>
      </c>
      <c r="F47" s="5">
        <f t="shared" ref="F47:G47" si="29">-F13</f>
        <v>-7</v>
      </c>
      <c r="G47" s="5">
        <f t="shared" si="29"/>
        <v>-8</v>
      </c>
    </row>
    <row r="48" spans="2:9" x14ac:dyDescent="0.3">
      <c r="B48" s="1" t="s">
        <v>52</v>
      </c>
      <c r="E48" s="9">
        <f>E47</f>
        <v>-6</v>
      </c>
      <c r="F48" s="9">
        <f t="shared" ref="F48:G48" si="30">F47</f>
        <v>-7</v>
      </c>
      <c r="G48" s="9">
        <f t="shared" si="30"/>
        <v>-8</v>
      </c>
    </row>
    <row r="49" spans="2:7" x14ac:dyDescent="0.3">
      <c r="E49" s="5"/>
      <c r="F49" s="5"/>
      <c r="G49" s="5"/>
    </row>
    <row r="50" spans="2:7" x14ac:dyDescent="0.3">
      <c r="B50" s="1" t="s">
        <v>53</v>
      </c>
      <c r="D50" s="5"/>
      <c r="E50" s="13">
        <f>E41+E45+E48</f>
        <v>22.1</v>
      </c>
      <c r="F50" s="13">
        <f t="shared" ref="F50:G50" si="31">F41+F45+F48</f>
        <v>17.454999999999998</v>
      </c>
      <c r="G50" s="13">
        <f t="shared" si="31"/>
        <v>13.797749999999986</v>
      </c>
    </row>
    <row r="51" spans="2:7" x14ac:dyDescent="0.3">
      <c r="B51" t="s">
        <v>58</v>
      </c>
      <c r="D51" s="5"/>
      <c r="E51" s="5">
        <f>D29</f>
        <v>5</v>
      </c>
      <c r="F51" s="8">
        <f>E52</f>
        <v>27.1</v>
      </c>
      <c r="G51" s="8">
        <f>F52</f>
        <v>44.555</v>
      </c>
    </row>
    <row r="52" spans="2:7" x14ac:dyDescent="0.3">
      <c r="B52" s="1" t="s">
        <v>54</v>
      </c>
      <c r="D52" s="9"/>
      <c r="E52" s="13">
        <f>E50+E51</f>
        <v>27.1</v>
      </c>
      <c r="F52" s="13">
        <f t="shared" ref="F52:G52" si="32">F50+F51</f>
        <v>44.555</v>
      </c>
      <c r="G52" s="13">
        <f t="shared" si="32"/>
        <v>58.352749999999986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Devre</dc:creator>
  <cp:lastModifiedBy>Shweta Devre</cp:lastModifiedBy>
  <dcterms:created xsi:type="dcterms:W3CDTF">2026-08-12T15:21:59Z</dcterms:created>
  <dcterms:modified xsi:type="dcterms:W3CDTF">2026-08-12T17:18:01Z</dcterms:modified>
</cp:coreProperties>
</file>